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D46C310-04AB-4D6F-8099-475BF76D0EE0}" xr6:coauthVersionLast="47" xr6:coauthVersionMax="47" xr10:uidLastSave="{00000000-0000-0000-0000-000000000000}"/>
  <bookViews>
    <workbookView xWindow="6705" yWindow="345" windowWidth="21600" windowHeight="11295" tabRatio="500" xr2:uid="{00000000-000D-0000-FFFF-FFFF00000000}"/>
  </bookViews>
  <sheets>
    <sheet name="Prescription" sheetId="1" r:id="rId1"/>
    <sheet name="Process" sheetId="2" r:id="rId2"/>
    <sheet name="QA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</calcChain>
</file>

<file path=xl/sharedStrings.xml><?xml version="1.0" encoding="utf-8"?>
<sst xmlns="http://schemas.openxmlformats.org/spreadsheetml/2006/main" count="448" uniqueCount="329">
  <si>
    <t>코칭 마이랩 AI 가이드 처방서</t>
  </si>
  <si>
    <t>썬크림 SPF50+ PA++++ | O/W Emulsion Type</t>
  </si>
  <si>
    <t>처방번호</t>
  </si>
  <si>
    <t>RX-2026-0226-SC001</t>
  </si>
  <si>
    <t>처방일자</t>
  </si>
  <si>
    <t>2026-02-26</t>
  </si>
  <si>
    <t>제형 분류</t>
  </si>
  <si>
    <t>선케어 &gt; 자외선차단 크림</t>
  </si>
  <si>
    <t>타겟 SPF/PA</t>
  </si>
  <si>
    <t>SPF50+ / PA++++</t>
  </si>
  <si>
    <t>제형 타입</t>
  </si>
  <si>
    <t>O/W Emulsion (수중유형)</t>
  </si>
  <si>
    <t>목표 점도</t>
  </si>
  <si>
    <t>35,000~55,000 cps</t>
  </si>
  <si>
    <t>목표 pH</t>
  </si>
  <si>
    <t>6.5 ~ 7.5</t>
  </si>
  <si>
    <t>목표 비중</t>
  </si>
  <si>
    <t>1.05 ~ 1.15</t>
  </si>
  <si>
    <t>대상 피부</t>
  </si>
  <si>
    <t>전 피부타입 (민감성 포함)</t>
  </si>
  <si>
    <t>사용 계절</t>
  </si>
  <si>
    <t>사계절 (주로 하절기)</t>
  </si>
  <si>
    <t>■ 배합표 (Formulation Table)</t>
  </si>
  <si>
    <t>No.</t>
  </si>
  <si>
    <t>성분명 (한글)</t>
  </si>
  <si>
    <t>INCI Name</t>
  </si>
  <si>
    <t>wt%</t>
  </si>
  <si>
    <t>기능</t>
  </si>
  <si>
    <t>Phase</t>
  </si>
  <si>
    <t>비고</t>
  </si>
  <si>
    <t>A-1</t>
  </si>
  <si>
    <t>정제수</t>
  </si>
  <si>
    <t>Aqua (Water)</t>
  </si>
  <si>
    <t>용매</t>
  </si>
  <si>
    <t>A (수상)</t>
  </si>
  <si>
    <t>To 100%</t>
  </si>
  <si>
    <t>A-2</t>
  </si>
  <si>
    <t>부틸렌글라이콜</t>
  </si>
  <si>
    <t>Butylene Glycol</t>
  </si>
  <si>
    <t>보습제/용제</t>
  </si>
  <si>
    <t>A-3</t>
  </si>
  <si>
    <t>글리세린</t>
  </si>
  <si>
    <t>Glycerin</t>
  </si>
  <si>
    <t>보습제</t>
  </si>
  <si>
    <t>A-4</t>
  </si>
  <si>
    <t>디소듐이디티에이</t>
  </si>
  <si>
    <t>Disodium EDTA</t>
  </si>
  <si>
    <t>킬레이트제</t>
  </si>
  <si>
    <t>B-1</t>
  </si>
  <si>
    <t>에칠헥실메톡시신나메이트</t>
  </si>
  <si>
    <t>Ethylhexyl Methoxycinnamate</t>
  </si>
  <si>
    <t>UVB 차단제</t>
  </si>
  <si>
    <t>B (자외선)</t>
  </si>
  <si>
    <t>OMC, 유기자차</t>
  </si>
  <si>
    <t>B-2</t>
  </si>
  <si>
    <t>비스에칠헥실옥시페놀메톡시페닐트리아진</t>
  </si>
  <si>
    <t>Bis-Ethylhexyloxyphenol Methoxyphenyl Triazine</t>
  </si>
  <si>
    <t>UVA/B 차단제</t>
  </si>
  <si>
    <t>Tinosorb S</t>
  </si>
  <si>
    <t>B-3</t>
  </si>
  <si>
    <t>디에칠아미노하이드록시벤조일헥실벤조에이트</t>
  </si>
  <si>
    <t>Diethylamino Hydroxybenzoyl Hexyl Benzoate</t>
  </si>
  <si>
    <t>UVA 차단제</t>
  </si>
  <si>
    <t>DHHB, Uvinul A Plus</t>
  </si>
  <si>
    <t>B-4</t>
  </si>
  <si>
    <t>에칠헥실트리아존</t>
  </si>
  <si>
    <t>Ethylhexyl Triazone</t>
  </si>
  <si>
    <t>Uvinul T150</t>
  </si>
  <si>
    <t>B-5</t>
  </si>
  <si>
    <t>티타늄디옥사이드</t>
  </si>
  <si>
    <t>Titanium Dioxide (nano)</t>
  </si>
  <si>
    <t>무기자차 (UVB)</t>
  </si>
  <si>
    <t>코팅처리, 입자 15~35nm</t>
  </si>
  <si>
    <t>B-6</t>
  </si>
  <si>
    <t>징크옥사이드</t>
  </si>
  <si>
    <t>Zinc Oxide (nano)</t>
  </si>
  <si>
    <t>무기자차 (UVA)</t>
  </si>
  <si>
    <t>코팅처리, 입자 20~40nm</t>
  </si>
  <si>
    <t>C-1</t>
  </si>
  <si>
    <t>사이클로펜타실록세인</t>
  </si>
  <si>
    <t>Cyclopentasiloxane</t>
  </si>
  <si>
    <t>실리콘오일/감촉개선</t>
  </si>
  <si>
    <t>C (유상)</t>
  </si>
  <si>
    <t>D5, 발림성 향상</t>
  </si>
  <si>
    <t>C-2</t>
  </si>
  <si>
    <t>씨12-15알킬벤조에이트</t>
  </si>
  <si>
    <t>C12-15 Alkyl Benzoate</t>
  </si>
  <si>
    <t>에스테르오일/UV용해</t>
  </si>
  <si>
    <t>자외선차단제 용해 보조</t>
  </si>
  <si>
    <t>C-3</t>
  </si>
  <si>
    <t>카프릴릭/카프릭트리글리세라이드</t>
  </si>
  <si>
    <t>Caprylic/Capric Triglyceride</t>
  </si>
  <si>
    <t>에몰리언트</t>
  </si>
  <si>
    <t>C-4</t>
  </si>
  <si>
    <t>세틸피이지/피피지-10/1디메치콘</t>
  </si>
  <si>
    <t>Cetyl PEG/PPG-10/1 Dimethicone</t>
  </si>
  <si>
    <t>실리콘유화제</t>
  </si>
  <si>
    <t>W/Si 유화 보조</t>
  </si>
  <si>
    <t>C-5</t>
  </si>
  <si>
    <t>폴리글리세릴-3폴리디메틸실록시에틸디메치콘</t>
  </si>
  <si>
    <t>Polyglyceryl-3 Polydimethylsiloxyethyl Dimethicone</t>
  </si>
  <si>
    <t>유화제</t>
  </si>
  <si>
    <t>주 유화제</t>
  </si>
  <si>
    <t>D-1</t>
  </si>
  <si>
    <t>나이아신아마이드</t>
  </si>
  <si>
    <t>Niacinamide</t>
  </si>
  <si>
    <t>미백/장벽강화</t>
  </si>
  <si>
    <t>D (첨가)</t>
  </si>
  <si>
    <t>기능성 원료</t>
  </si>
  <si>
    <t>D-2</t>
  </si>
  <si>
    <t>토코페릴아세테이트</t>
  </si>
  <si>
    <t>Tocopheryl Acetate</t>
  </si>
  <si>
    <t>항산화/안정화</t>
  </si>
  <si>
    <t>Vit E 유도체</t>
  </si>
  <si>
    <t>D-3</t>
  </si>
  <si>
    <t>판테놀</t>
  </si>
  <si>
    <t>Panthenol</t>
  </si>
  <si>
    <t>진정/보습</t>
  </si>
  <si>
    <t>D-4</t>
  </si>
  <si>
    <t>알란토인</t>
  </si>
  <si>
    <t>Allantoin</t>
  </si>
  <si>
    <t>진정</t>
  </si>
  <si>
    <t>민감피부 적합</t>
  </si>
  <si>
    <t>E-1</t>
  </si>
  <si>
    <t>페녹시에탄올</t>
  </si>
  <si>
    <t>Phenoxyethanol</t>
  </si>
  <si>
    <t>방부제</t>
  </si>
  <si>
    <t>E (보정)</t>
  </si>
  <si>
    <t>E-2</t>
  </si>
  <si>
    <t>에칠헥실글리세린</t>
  </si>
  <si>
    <t>Ethylhexylglycerin</t>
  </si>
  <si>
    <t>방부보조/감촉</t>
  </si>
  <si>
    <t>E-3</t>
  </si>
  <si>
    <t>아크릴레이트/C10-30알킬아크릴레이트크로스폴리머</t>
  </si>
  <si>
    <t>Acrylates/C10-30 Alkyl Acrylate Crosspolymer</t>
  </si>
  <si>
    <t>점도조절제</t>
  </si>
  <si>
    <t>Carbopol Ultrez</t>
  </si>
  <si>
    <t>E-4</t>
  </si>
  <si>
    <t>트로메타민</t>
  </si>
  <si>
    <t>Tromethamine</t>
  </si>
  <si>
    <t>pH 조절제</t>
  </si>
  <si>
    <t>중화제</t>
  </si>
  <si>
    <t>E-5</t>
  </si>
  <si>
    <t>향료</t>
  </si>
  <si>
    <t>Fragrance</t>
  </si>
  <si>
    <t>부향</t>
  </si>
  <si>
    <t>알레르겐 프리 권장</t>
  </si>
  <si>
    <t>—</t>
  </si>
  <si>
    <t>정제수 (보정)</t>
  </si>
  <si>
    <t>용매 (밸런스)</t>
  </si>
  <si>
    <t>A</t>
  </si>
  <si>
    <t>합계 100% 맞춤</t>
  </si>
  <si>
    <t>합 계</t>
  </si>
  <si>
    <t>wt% 기준, 합계 100.00%</t>
  </si>
  <si>
    <t>■ 자외선 차단 필터 분석</t>
  </si>
  <si>
    <t>구분</t>
  </si>
  <si>
    <t>성분명</t>
  </si>
  <si>
    <t>차단 영역</t>
  </si>
  <si>
    <t>배합량</t>
  </si>
  <si>
    <t>최대 허용 (KR)</t>
  </si>
  <si>
    <t>최대 허용 (EU)</t>
  </si>
  <si>
    <t>유기</t>
  </si>
  <si>
    <t>UVB (280~320nm)</t>
  </si>
  <si>
    <t>7.50%</t>
  </si>
  <si>
    <t>7.5%</t>
  </si>
  <si>
    <t>10%</t>
  </si>
  <si>
    <t>KR 최대치 사용</t>
  </si>
  <si>
    <t>Bis-Ethylhexyloxyphenol...(Tinosorb S)</t>
  </si>
  <si>
    <t>UVA+UVB (280~400nm)</t>
  </si>
  <si>
    <t>3.00%</t>
  </si>
  <si>
    <t>광안정성 우수</t>
  </si>
  <si>
    <t>DHHB (Uvinul A Plus)</t>
  </si>
  <si>
    <t>UVA (320~400nm)</t>
  </si>
  <si>
    <t>UVA-I 차단 핵심</t>
  </si>
  <si>
    <t>2.00%</t>
  </si>
  <si>
    <t>5%</t>
  </si>
  <si>
    <t>무기</t>
  </si>
  <si>
    <t>UVB + 일부 UVA</t>
  </si>
  <si>
    <t>5.00%</t>
  </si>
  <si>
    <t>25%</t>
  </si>
  <si>
    <t>코팅 필수 (나노)</t>
  </si>
  <si>
    <t>UVA + 일부 UVB</t>
  </si>
  <si>
    <t>※ 유기+무기 하이브리드 구성으로 SPF50+/PA++++ 달성. UVA PF ≥16 예상 (in-vitro 기준). in-vivo 테스트 필수.</t>
  </si>
  <si>
    <t>공정 순서 (Manufacturing Process)</t>
  </si>
  <si>
    <t>Step</t>
  </si>
  <si>
    <t>공정 단계</t>
  </si>
  <si>
    <t>상세 작업 내용</t>
  </si>
  <si>
    <t>온도 조건</t>
  </si>
  <si>
    <t>시간</t>
  </si>
  <si>
    <t>주의사항</t>
  </si>
  <si>
    <t>1</t>
  </si>
  <si>
    <t>A-Phase 조제
(수상 준비)</t>
  </si>
  <si>
    <t>정제수에 Butylene Glycol, Glycerin, Disodium EDTA를 순서대로 투입하고 교반 용해</t>
  </si>
  <si>
    <t>상온 (25±2℃)</t>
  </si>
  <si>
    <t>10분</t>
  </si>
  <si>
    <t>EDTA는 소량이므로 완전 용해 확인</t>
  </si>
  <si>
    <t>2</t>
  </si>
  <si>
    <t>B-Phase 조제
(UV 필터 분산)</t>
  </si>
  <si>
    <t>C12-15 Alkyl Benzoate에 유기자차 4종(OMC, Tinosorb S, DHHB, Uvinul T150)을 순서대로 투입하여 용해. 별도로 TiO2, ZnO를 실리콘오일에 예비분산</t>
  </si>
  <si>
    <t>45~50℃</t>
  </si>
  <si>
    <t>20분</t>
  </si>
  <si>
    <t>유기자차 완전 용해 확인 (투명). 무기자차는 비드밀 또는 3-roll mill로 입자 분산</t>
  </si>
  <si>
    <t>3</t>
  </si>
  <si>
    <t>C-Phase 조제
(유상 혼합)</t>
  </si>
  <si>
    <t>Cyclopentasiloxane + CCT + 실리콘유화제(Cetyl PEG/PPG-10/1 Dimethicone, PG-3 PDSE)를 혼합</t>
  </si>
  <si>
    <t>50~55℃</t>
  </si>
  <si>
    <t>실리콘유화제 완전 용해 확인</t>
  </si>
  <si>
    <t>4</t>
  </si>
  <si>
    <t>예비 유화
(B+C 혼합)</t>
  </si>
  <si>
    <t>B-Phase(UV 필터)를 C-Phase(유상)에 투입하여 예비 혼합</t>
  </si>
  <si>
    <t>무기자차 분산액도 이 단계에서 합류</t>
  </si>
  <si>
    <t>5</t>
  </si>
  <si>
    <t>본 유화
(A + BC 혼합)</t>
  </si>
  <si>
    <t>A-Phase(수상)을 50℃로 가열 후, BC 혼합물을 A에 서서히 투입하면서 호모믹서 6,000~8,000 rpm으로 유화</t>
  </si>
  <si>
    <t>50℃</t>
  </si>
  <si>
    <t>15분</t>
  </si>
  <si>
    <t>투입 속도 일정하게 유지. 급격한 투입 시 유화 불안정</t>
  </si>
  <si>
    <t>6</t>
  </si>
  <si>
    <t>냉각</t>
  </si>
  <si>
    <t>교반하면서 40℃ 이하로 냉각 (패들믹서 300~500 rpm)</t>
  </si>
  <si>
    <t>50℃→40℃</t>
  </si>
  <si>
    <t>20~30분</t>
  </si>
  <si>
    <t>급냉 금지. 냉각 속도 2~3℃/min</t>
  </si>
  <si>
    <t>7</t>
  </si>
  <si>
    <t>D-Phase 투입
(기능성 원료)</t>
  </si>
  <si>
    <t>Niacinamide, Tocopheryl Acetate, Panthenol, Allantoin 순서로 투입</t>
  </si>
  <si>
    <t>35~40℃</t>
  </si>
  <si>
    <t>열에 민감한 원료이므로 반드시 40℃ 이하에서 투입</t>
  </si>
  <si>
    <t>8</t>
  </si>
  <si>
    <t>E-Phase 투입
(보정)</t>
  </si>
  <si>
    <t>Phenoxyethanol + Ethylhexylglycerin 투입 → Carbopol 겔 투입 → Tromethamine으로 중화 → 향료 투입</t>
  </si>
  <si>
    <t>35℃ 이하</t>
  </si>
  <si>
    <t>Carbopol 중화 시 pH 확인 (목표 6.5~7.5). 과중화 주의</t>
  </si>
  <si>
    <t>9</t>
  </si>
  <si>
    <t>균질화</t>
  </si>
  <si>
    <t>호모믹서 4,000~5,000 rpm으로 최종 균질화</t>
  </si>
  <si>
    <t>30~35℃</t>
  </si>
  <si>
    <t>5분</t>
  </si>
  <si>
    <t>과도한 전단 시 유화 파괴 주의</t>
  </si>
  <si>
    <t>10</t>
  </si>
  <si>
    <t>탈포</t>
  </si>
  <si>
    <t>진공 탈포 (-0.08 MPa 이상)</t>
  </si>
  <si>
    <t>30℃ 이하</t>
  </si>
  <si>
    <t>15~20분</t>
  </si>
  <si>
    <t>기포 완전 제거 확인</t>
  </si>
  <si>
    <t>11</t>
  </si>
  <si>
    <t>품질 검사</t>
  </si>
  <si>
    <t>pH, 점도, 비중, 외관, 냄새, 입자 크기 측정</t>
  </si>
  <si>
    <t>상온</t>
  </si>
  <si>
    <t>기준 범위 벗어나면 보정 실시</t>
  </si>
  <si>
    <t>12</t>
  </si>
  <si>
    <t>충전/포장</t>
  </si>
  <si>
    <t>적합 판정 후 튜브 또는 용기에 충전</t>
  </si>
  <si>
    <t>충전 중 이물질 혼입 방지</t>
  </si>
  <si>
    <t>규제 준수 검토 및 품질 체크리스트</t>
  </si>
  <si>
    <t>■ 자외선차단제 성분 규제 적합성</t>
  </si>
  <si>
    <t>KR 한도</t>
  </si>
  <si>
    <t>EU 한도</t>
  </si>
  <si>
    <t>US 한도</t>
  </si>
  <si>
    <t>판정</t>
  </si>
  <si>
    <t>✅ 적합 (KR 최대치)</t>
  </si>
  <si>
    <t>미등재</t>
  </si>
  <si>
    <t>⚠️ US 미등재 (수출 주의)</t>
  </si>
  <si>
    <t>✅ 적합 (나노 표시 필요)</t>
  </si>
  <si>
    <t>0.80%</t>
  </si>
  <si>
    <t>1.0%</t>
  </si>
  <si>
    <t>✅ 적합</t>
  </si>
  <si>
    <t>제한없음</t>
  </si>
  <si>
    <t>※ 한국(KR) 시장: 모든 성분 적합. 미국(US) 수출 시 유기자차 3종(Tinosorb S, DHHB, Uvinul T150) 미등재로 대체 필요.</t>
  </si>
  <si>
    <t>※ EU 시장: 모든 성분 적합. 나노 소재(TiO2, ZnO) 표시 의무 및 안전성 보고서 필요.</t>
  </si>
  <si>
    <t>■ 품질 체크리스트 (QA Checklist)</t>
  </si>
  <si>
    <t>검사 항목</t>
  </si>
  <si>
    <t>기준값</t>
  </si>
  <si>
    <t>허용 범위</t>
  </si>
  <si>
    <t>측정 방법</t>
  </si>
  <si>
    <t>배합비 합계</t>
  </si>
  <si>
    <t>100.00%</t>
  </si>
  <si>
    <t>99.5~100.5%</t>
  </si>
  <si>
    <t>계산</t>
  </si>
  <si>
    <t>✅ PASS</t>
  </si>
  <si>
    <t>pH</t>
  </si>
  <si>
    <t>6.5~7.5</t>
  </si>
  <si>
    <t>±0.3</t>
  </si>
  <si>
    <t>pH meter</t>
  </si>
  <si>
    <t>자외선차단 최적 pH</t>
  </si>
  <si>
    <t>점도</t>
  </si>
  <si>
    <t>±5,000</t>
  </si>
  <si>
    <t>Brookfield RV #6 @10rpm</t>
  </si>
  <si>
    <t>— 실측필요</t>
  </si>
  <si>
    <t>제조 후 24h 측정</t>
  </si>
  <si>
    <t>비중</t>
  </si>
  <si>
    <t>1.05~1.15</t>
  </si>
  <si>
    <t>±0.03</t>
  </si>
  <si>
    <t>비중계</t>
  </si>
  <si>
    <t>외관</t>
  </si>
  <si>
    <t>백색~미황색 크림</t>
  </si>
  <si>
    <t>육안</t>
  </si>
  <si>
    <t>균일한 색상/질감</t>
  </si>
  <si>
    <t>입자 크기 (무기자차)</t>
  </si>
  <si>
    <t>&lt; 100nm</t>
  </si>
  <si>
    <t>DLS / TEM</t>
  </si>
  <si>
    <t>나노 규격 확인</t>
  </si>
  <si>
    <t>SPF 측정 (in-vitro)</t>
  </si>
  <si>
    <t>≥ 50</t>
  </si>
  <si>
    <t>Transpore tape method</t>
  </si>
  <si>
    <t>in-vivo 전 사전 확인</t>
  </si>
  <si>
    <t>UVA PF (in-vitro)</t>
  </si>
  <si>
    <t>≥ 16</t>
  </si>
  <si>
    <t>ISO 24443</t>
  </si>
  <si>
    <t>PA++++ 기준</t>
  </si>
  <si>
    <t>광안정성</t>
  </si>
  <si>
    <t>SPF 유지율 ≥ 90%</t>
  </si>
  <si>
    <t>Pre/Post irradiation</t>
  </si>
  <si>
    <t>2시간 조사 후</t>
  </si>
  <si>
    <t>방부력 시험</t>
  </si>
  <si>
    <t>적합</t>
  </si>
  <si>
    <t>Challenge Test</t>
  </si>
  <si>
    <t>6개월 소요</t>
  </si>
  <si>
    <t>가속안정성</t>
  </si>
  <si>
    <t>40℃/75%RH 6개월</t>
  </si>
  <si>
    <t>3개월 중간점검</t>
  </si>
  <si>
    <t>비호환 성분 검증</t>
  </si>
  <si>
    <t>없음</t>
  </si>
  <si>
    <t>배합 규칙 대조</t>
  </si>
  <si>
    <t>AI 자동 검증 완료</t>
  </si>
  <si>
    <t>규제 준수 (KR)</t>
  </si>
  <si>
    <t>식약처 기준 대조</t>
  </si>
  <si>
    <t>AI 자동 검증: 배합비 합계, 비호환 성분, 규제 준수 3개 항목 PASS | 나머지 10개 항목은 실험실 실측 필수</t>
  </si>
  <si>
    <t>⚠️ SPF/PA 수치는 in-silico 추정값이며, 제품 출시 전 반드시 in-vivo 인체적용시험(ISO 24444, ISO 24442) 필수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</si>
</sst>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charset val="1"/>
    </font>
    <font>
      <b/>
      <sz val="18"/>
      <color rgb="FF1B3A5C"/>
      <name val="Noto Sans CJK SC"/>
      <family val="2"/>
    </font>
    <font>
      <b/>
      <sz val="11"/>
      <color rgb="FF2E75B6"/>
      <name val="Noto Sans CJK SC"/>
      <family val="2"/>
    </font>
    <font>
      <b/>
      <sz val="10"/>
      <color rgb="FF1A1A2E"/>
      <name val="Noto Sans CJK SC"/>
      <family val="2"/>
    </font>
    <font>
      <sz val="10"/>
      <color rgb="FF1A1A2E"/>
      <name val="Arial"/>
      <family val="2"/>
    </font>
    <font>
      <sz val="10"/>
      <color rgb="FF1A1A2E"/>
      <name val="Noto Sans CJK SC"/>
      <family val="2"/>
    </font>
    <font>
      <b/>
      <sz val="10"/>
      <color rgb="FF1A1A2E"/>
      <name val="Arial"/>
      <family val="2"/>
    </font>
    <font>
      <b/>
      <sz val="10"/>
      <color rgb="FF1B3A5C"/>
      <name val="Noto Sans CJK SC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sz val="9"/>
      <color rgb="FF6B7280"/>
      <name val="Arial"/>
      <family val="2"/>
    </font>
    <font>
      <sz val="10"/>
      <color rgb="FF0000FF"/>
      <name val="Arial"/>
      <family val="2"/>
    </font>
    <font>
      <sz val="9"/>
      <color rgb="FF6B7280"/>
      <name val="Noto Sans CJK SC"/>
      <family val="2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9"/>
      <color rgb="FFCCCCCC"/>
      <name val="Arial"/>
      <family val="2"/>
    </font>
    <font>
      <b/>
      <sz val="10"/>
      <color rgb="FF0D7C3F"/>
      <name val="Arial"/>
      <family val="2"/>
    </font>
    <font>
      <b/>
      <sz val="10"/>
      <color rgb="FFC07800"/>
      <name val="Noto Sans CJK SC"/>
      <family val="2"/>
    </font>
    <font>
      <b/>
      <sz val="10"/>
      <color rgb="FFC07800"/>
      <name val="Arial"/>
      <family val="2"/>
    </font>
    <font>
      <b/>
      <sz val="14"/>
      <color rgb="FF1B3A5C"/>
      <name val="Noto Sans CJK SC"/>
      <family val="2"/>
    </font>
    <font>
      <sz val="9"/>
      <color rgb="FF1A1A2E"/>
      <name val="Noto Sans CJK SC"/>
      <family val="2"/>
    </font>
    <font>
      <sz val="9"/>
      <color rgb="FF1A1A2E"/>
      <name val="Arial"/>
      <family val="2"/>
    </font>
    <font>
      <sz val="10"/>
      <color rgb="FF0000FF"/>
      <name val="Noto Sans CJK SC"/>
      <family val="2"/>
    </font>
    <font>
      <sz val="9"/>
      <color rgb="FFC0392B"/>
      <name val="Arial"/>
      <family val="2"/>
    </font>
    <font>
      <sz val="9"/>
      <color rgb="FFC0392B"/>
      <name val="Noto Sans CJK SC"/>
      <family val="2"/>
    </font>
    <font>
      <b/>
      <sz val="10"/>
      <color rgb="FF0D7C3F"/>
      <name val="Noto Sans CJK SC"/>
      <family val="2"/>
    </font>
    <font>
      <b/>
      <sz val="10"/>
      <color rgb="FFC0392B"/>
      <name val="Noto Sans CJK SC"/>
      <family val="2"/>
    </font>
    <font>
      <b/>
      <sz val="10"/>
      <color rgb="FFC0392B"/>
      <name val="Arial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6E8F7"/>
        <bgColor rgb="FFD5F0DA"/>
      </patternFill>
    </fill>
    <fill>
      <patternFill patternType="solid">
        <fgColor rgb="FFFFFFFF"/>
        <bgColor rgb="FFF2F3F5"/>
      </patternFill>
    </fill>
    <fill>
      <patternFill patternType="solid">
        <fgColor rgb="FFF2F3F5"/>
        <bgColor rgb="FFFFFFFF"/>
      </patternFill>
    </fill>
    <fill>
      <patternFill patternType="solid">
        <fgColor rgb="FF1B3A5C"/>
        <bgColor rgb="FF333399"/>
      </patternFill>
    </fill>
    <fill>
      <patternFill patternType="solid">
        <fgColor rgb="FFFFE0B2"/>
        <bgColor rgb="FFFDDEDE"/>
      </patternFill>
    </fill>
    <fill>
      <patternFill patternType="solid">
        <fgColor rgb="FFD5F0DA"/>
        <bgColor rgb="FFD6E8F7"/>
      </patternFill>
    </fill>
    <fill>
      <patternFill patternType="solid">
        <fgColor rgb="FFFFF3D6"/>
        <bgColor rgb="FFF2F3F5"/>
      </patternFill>
    </fill>
    <fill>
      <patternFill patternType="solid">
        <fgColor rgb="FFFDDEDE"/>
        <bgColor rgb="FFFFE0B2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 wrapText="1"/>
    </xf>
    <xf numFmtId="2" fontId="11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2" fontId="11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2" fontId="11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2" fontId="11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2" fontId="11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2" fontId="14" fillId="5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21" fillId="8" borderId="1" xfId="0" applyFont="1" applyFill="1" applyBorder="1" applyAlignment="1">
      <alignment horizontal="left" vertical="center" wrapText="1"/>
    </xf>
    <xf numFmtId="0" fontId="24" fillId="8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25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4" xfId="0" applyBorder="1"/>
    <xf numFmtId="0" fontId="5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left" vertical="center" wrapText="1"/>
    </xf>
    <xf numFmtId="0" fontId="27" fillId="9" borderId="2" xfId="0" applyFont="1" applyFill="1" applyBorder="1" applyAlignment="1">
      <alignment horizontal="center" vertical="center" wrapText="1"/>
    </xf>
    <xf numFmtId="0" fontId="26" fillId="9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D7C3F"/>
      <rgbColor rgb="FF000080"/>
      <rgbColor rgb="FFC07800"/>
      <rgbColor rgb="FF800080"/>
      <rgbColor rgb="FF008080"/>
      <rgbColor rgb="FFCCCCCC"/>
      <rgbColor rgb="FF808080"/>
      <rgbColor rgb="FF9999FF"/>
      <rgbColor rgb="FF993366"/>
      <rgbColor rgb="FFFFF3D6"/>
      <rgbColor rgb="FFD6E8F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5"/>
      <rgbColor rgb="FFD5F0DA"/>
      <rgbColor rgb="FFFDDEDE"/>
      <rgbColor rgb="FF99CCFF"/>
      <rgbColor rgb="FFFF99CC"/>
      <rgbColor rgb="FFCC99FF"/>
      <rgbColor rgb="FFFFE0B2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B3A5C"/>
      <rgbColor rgb="FF339966"/>
      <rgbColor rgb="FF003300"/>
      <rgbColor rgb="FF333300"/>
      <rgbColor rgb="FFC0392B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5C"/>
  </sheetPr>
  <dimension ref="B2:H48"/>
  <sheetViews>
    <sheetView tabSelected="1" zoomScaleNormal="100" workbookViewId="0"/>
  </sheetViews>
  <sheetFormatPr defaultColWidth="8.7109375" defaultRowHeight="15"/>
  <cols>
    <col min="1" max="1" width="3" customWidth="1"/>
    <col min="2" max="2" width="6" customWidth="1"/>
    <col min="3" max="3" width="28" customWidth="1"/>
    <col min="4" max="4" width="32" customWidth="1"/>
    <col min="5" max="5" width="12" customWidth="1"/>
    <col min="6" max="7" width="14" customWidth="1"/>
    <col min="8" max="8" width="28" customWidth="1"/>
  </cols>
  <sheetData>
    <row r="2" spans="2:8" ht="27.6" customHeight="1">
      <c r="B2" s="104" t="s">
        <v>0</v>
      </c>
      <c r="C2" s="100"/>
      <c r="D2" s="100"/>
      <c r="E2" s="100"/>
      <c r="F2" s="100"/>
      <c r="G2" s="100"/>
      <c r="H2" s="101"/>
    </row>
    <row r="3" spans="2:8" ht="17.100000000000001" customHeight="1">
      <c r="B3" s="106" t="s">
        <v>1</v>
      </c>
      <c r="C3" s="100"/>
      <c r="D3" s="100"/>
      <c r="E3" s="100"/>
      <c r="F3" s="100"/>
      <c r="G3" s="100"/>
      <c r="H3" s="101"/>
    </row>
    <row r="5" spans="2:8" ht="29.85" customHeight="1">
      <c r="B5" s="1" t="s">
        <v>2</v>
      </c>
      <c r="C5" s="99" t="s">
        <v>3</v>
      </c>
      <c r="D5" s="101"/>
      <c r="E5" s="1" t="s">
        <v>4</v>
      </c>
      <c r="F5" s="99" t="s">
        <v>5</v>
      </c>
      <c r="G5" s="100"/>
      <c r="H5" s="101"/>
    </row>
    <row r="6" spans="2:8" ht="29.85" customHeight="1">
      <c r="B6" s="1" t="s">
        <v>6</v>
      </c>
      <c r="C6" s="102" t="s">
        <v>7</v>
      </c>
      <c r="D6" s="101"/>
      <c r="E6" s="1" t="s">
        <v>8</v>
      </c>
      <c r="F6" s="99" t="s">
        <v>9</v>
      </c>
      <c r="G6" s="100"/>
      <c r="H6" s="101"/>
    </row>
    <row r="7" spans="2:8" ht="29.85" customHeight="1">
      <c r="B7" s="1" t="s">
        <v>10</v>
      </c>
      <c r="C7" s="99" t="s">
        <v>11</v>
      </c>
      <c r="D7" s="101"/>
      <c r="E7" s="1" t="s">
        <v>12</v>
      </c>
      <c r="F7" s="99" t="s">
        <v>13</v>
      </c>
      <c r="G7" s="100"/>
      <c r="H7" s="101"/>
    </row>
    <row r="8" spans="2:8" ht="26.85" customHeight="1">
      <c r="B8" s="1" t="s">
        <v>14</v>
      </c>
      <c r="C8" s="99" t="s">
        <v>15</v>
      </c>
      <c r="D8" s="101"/>
      <c r="E8" s="1" t="s">
        <v>16</v>
      </c>
      <c r="F8" s="99" t="s">
        <v>17</v>
      </c>
      <c r="G8" s="100"/>
      <c r="H8" s="101"/>
    </row>
    <row r="9" spans="2:8" ht="29.85" customHeight="1">
      <c r="B9" s="1" t="s">
        <v>18</v>
      </c>
      <c r="C9" s="102" t="s">
        <v>19</v>
      </c>
      <c r="D9" s="101"/>
      <c r="E9" s="1" t="s">
        <v>20</v>
      </c>
      <c r="F9" s="102" t="s">
        <v>21</v>
      </c>
      <c r="G9" s="100"/>
      <c r="H9" s="101"/>
    </row>
    <row r="11" spans="2:8" ht="15" customHeight="1">
      <c r="B11" s="103" t="s">
        <v>22</v>
      </c>
      <c r="C11" s="100"/>
      <c r="D11" s="100"/>
      <c r="E11" s="100"/>
      <c r="F11" s="100"/>
      <c r="G11" s="100"/>
      <c r="H11" s="101"/>
    </row>
    <row r="12" spans="2:8" ht="15" customHeight="1">
      <c r="B12" s="3" t="s">
        <v>23</v>
      </c>
      <c r="C12" s="4" t="s">
        <v>24</v>
      </c>
      <c r="D12" s="3" t="s">
        <v>25</v>
      </c>
      <c r="E12" s="3" t="s">
        <v>26</v>
      </c>
      <c r="F12" s="4" t="s">
        <v>27</v>
      </c>
      <c r="G12" s="3" t="s">
        <v>28</v>
      </c>
      <c r="H12" s="4" t="s">
        <v>29</v>
      </c>
    </row>
    <row r="13" spans="2:8" ht="15" customHeight="1">
      <c r="B13" s="5" t="s">
        <v>30</v>
      </c>
      <c r="C13" s="6" t="s">
        <v>31</v>
      </c>
      <c r="D13" s="7" t="s">
        <v>32</v>
      </c>
      <c r="E13" s="8">
        <v>30</v>
      </c>
      <c r="F13" s="9" t="s">
        <v>33</v>
      </c>
      <c r="G13" s="10" t="s">
        <v>34</v>
      </c>
      <c r="H13" s="7" t="s">
        <v>35</v>
      </c>
    </row>
    <row r="14" spans="2:8" ht="15" customHeight="1">
      <c r="B14" s="5" t="s">
        <v>36</v>
      </c>
      <c r="C14" s="6" t="s">
        <v>37</v>
      </c>
      <c r="D14" s="7" t="s">
        <v>38</v>
      </c>
      <c r="E14" s="8">
        <v>3</v>
      </c>
      <c r="F14" s="9" t="s">
        <v>39</v>
      </c>
      <c r="G14" s="10" t="s">
        <v>34</v>
      </c>
      <c r="H14" s="7"/>
    </row>
    <row r="15" spans="2:8" ht="15" customHeight="1">
      <c r="B15" s="5" t="s">
        <v>40</v>
      </c>
      <c r="C15" s="6" t="s">
        <v>41</v>
      </c>
      <c r="D15" s="7" t="s">
        <v>42</v>
      </c>
      <c r="E15" s="8">
        <v>2</v>
      </c>
      <c r="F15" s="9" t="s">
        <v>43</v>
      </c>
      <c r="G15" s="10" t="s">
        <v>34</v>
      </c>
      <c r="H15" s="7"/>
    </row>
    <row r="16" spans="2:8" ht="15" customHeight="1">
      <c r="B16" s="5" t="s">
        <v>44</v>
      </c>
      <c r="C16" s="6" t="s">
        <v>45</v>
      </c>
      <c r="D16" s="7" t="s">
        <v>46</v>
      </c>
      <c r="E16" s="8">
        <v>0.05</v>
      </c>
      <c r="F16" s="9" t="s">
        <v>47</v>
      </c>
      <c r="G16" s="10" t="s">
        <v>34</v>
      </c>
      <c r="H16" s="7"/>
    </row>
    <row r="17" spans="2:8" ht="15" customHeight="1">
      <c r="B17" s="11" t="s">
        <v>48</v>
      </c>
      <c r="C17" s="12" t="s">
        <v>49</v>
      </c>
      <c r="D17" s="13" t="s">
        <v>50</v>
      </c>
      <c r="E17" s="14">
        <v>7.5</v>
      </c>
      <c r="F17" s="15" t="s">
        <v>51</v>
      </c>
      <c r="G17" s="15" t="s">
        <v>52</v>
      </c>
      <c r="H17" s="13" t="s">
        <v>53</v>
      </c>
    </row>
    <row r="18" spans="2:8" ht="29.85" customHeight="1">
      <c r="B18" s="11" t="s">
        <v>54</v>
      </c>
      <c r="C18" s="12" t="s">
        <v>55</v>
      </c>
      <c r="D18" s="13" t="s">
        <v>56</v>
      </c>
      <c r="E18" s="14">
        <v>3</v>
      </c>
      <c r="F18" s="15" t="s">
        <v>57</v>
      </c>
      <c r="G18" s="15" t="s">
        <v>52</v>
      </c>
      <c r="H18" s="13" t="s">
        <v>58</v>
      </c>
    </row>
    <row r="19" spans="2:8" ht="29.85" customHeight="1">
      <c r="B19" s="11" t="s">
        <v>59</v>
      </c>
      <c r="C19" s="12" t="s">
        <v>60</v>
      </c>
      <c r="D19" s="13" t="s">
        <v>61</v>
      </c>
      <c r="E19" s="14">
        <v>3</v>
      </c>
      <c r="F19" s="15" t="s">
        <v>62</v>
      </c>
      <c r="G19" s="15" t="s">
        <v>52</v>
      </c>
      <c r="H19" s="13" t="s">
        <v>63</v>
      </c>
    </row>
    <row r="20" spans="2:8" ht="15" customHeight="1">
      <c r="B20" s="11" t="s">
        <v>64</v>
      </c>
      <c r="C20" s="12" t="s">
        <v>65</v>
      </c>
      <c r="D20" s="13" t="s">
        <v>66</v>
      </c>
      <c r="E20" s="14">
        <v>2</v>
      </c>
      <c r="F20" s="15" t="s">
        <v>51</v>
      </c>
      <c r="G20" s="15" t="s">
        <v>52</v>
      </c>
      <c r="H20" s="13" t="s">
        <v>67</v>
      </c>
    </row>
    <row r="21" spans="2:8" ht="15" customHeight="1">
      <c r="B21" s="11" t="s">
        <v>68</v>
      </c>
      <c r="C21" s="16" t="s">
        <v>69</v>
      </c>
      <c r="D21" s="13" t="s">
        <v>70</v>
      </c>
      <c r="E21" s="14">
        <v>5</v>
      </c>
      <c r="F21" s="17" t="s">
        <v>71</v>
      </c>
      <c r="G21" s="15" t="s">
        <v>52</v>
      </c>
      <c r="H21" s="18" t="s">
        <v>72</v>
      </c>
    </row>
    <row r="22" spans="2:8" ht="15" customHeight="1">
      <c r="B22" s="11" t="s">
        <v>73</v>
      </c>
      <c r="C22" s="16" t="s">
        <v>74</v>
      </c>
      <c r="D22" s="13" t="s">
        <v>75</v>
      </c>
      <c r="E22" s="14">
        <v>5</v>
      </c>
      <c r="F22" s="17" t="s">
        <v>76</v>
      </c>
      <c r="G22" s="15" t="s">
        <v>52</v>
      </c>
      <c r="H22" s="18" t="s">
        <v>77</v>
      </c>
    </row>
    <row r="23" spans="2:8" ht="29.85" customHeight="1">
      <c r="B23" s="19" t="s">
        <v>78</v>
      </c>
      <c r="C23" s="20" t="s">
        <v>79</v>
      </c>
      <c r="D23" s="21" t="s">
        <v>80</v>
      </c>
      <c r="E23" s="22">
        <v>8</v>
      </c>
      <c r="F23" s="23" t="s">
        <v>81</v>
      </c>
      <c r="G23" s="24" t="s">
        <v>82</v>
      </c>
      <c r="H23" s="21" t="s">
        <v>83</v>
      </c>
    </row>
    <row r="24" spans="2:8" ht="29.85" customHeight="1">
      <c r="B24" s="19" t="s">
        <v>84</v>
      </c>
      <c r="C24" s="20" t="s">
        <v>85</v>
      </c>
      <c r="D24" s="21" t="s">
        <v>86</v>
      </c>
      <c r="E24" s="22">
        <v>5</v>
      </c>
      <c r="F24" s="23" t="s">
        <v>87</v>
      </c>
      <c r="G24" s="24" t="s">
        <v>82</v>
      </c>
      <c r="H24" s="25" t="s">
        <v>88</v>
      </c>
    </row>
    <row r="25" spans="2:8" ht="15" customHeight="1">
      <c r="B25" s="19" t="s">
        <v>89</v>
      </c>
      <c r="C25" s="20" t="s">
        <v>90</v>
      </c>
      <c r="D25" s="21" t="s">
        <v>91</v>
      </c>
      <c r="E25" s="22">
        <v>3</v>
      </c>
      <c r="F25" s="23" t="s">
        <v>92</v>
      </c>
      <c r="G25" s="24" t="s">
        <v>82</v>
      </c>
      <c r="H25" s="21"/>
    </row>
    <row r="26" spans="2:8" ht="15" customHeight="1">
      <c r="B26" s="19" t="s">
        <v>93</v>
      </c>
      <c r="C26" s="20" t="s">
        <v>94</v>
      </c>
      <c r="D26" s="21" t="s">
        <v>95</v>
      </c>
      <c r="E26" s="22">
        <v>3</v>
      </c>
      <c r="F26" s="23" t="s">
        <v>96</v>
      </c>
      <c r="G26" s="24" t="s">
        <v>82</v>
      </c>
      <c r="H26" s="21" t="s">
        <v>97</v>
      </c>
    </row>
    <row r="27" spans="2:8" ht="29.85" customHeight="1">
      <c r="B27" s="19" t="s">
        <v>98</v>
      </c>
      <c r="C27" s="20" t="s">
        <v>99</v>
      </c>
      <c r="D27" s="21" t="s">
        <v>100</v>
      </c>
      <c r="E27" s="22">
        <v>1.5</v>
      </c>
      <c r="F27" s="23" t="s">
        <v>101</v>
      </c>
      <c r="G27" s="24" t="s">
        <v>82</v>
      </c>
      <c r="H27" s="25" t="s">
        <v>102</v>
      </c>
    </row>
    <row r="28" spans="2:8" ht="15" customHeight="1">
      <c r="B28" s="26" t="s">
        <v>103</v>
      </c>
      <c r="C28" s="27" t="s">
        <v>104</v>
      </c>
      <c r="D28" s="28" t="s">
        <v>105</v>
      </c>
      <c r="E28" s="29">
        <v>2</v>
      </c>
      <c r="F28" s="30" t="s">
        <v>106</v>
      </c>
      <c r="G28" s="31" t="s">
        <v>107</v>
      </c>
      <c r="H28" s="32" t="s">
        <v>108</v>
      </c>
    </row>
    <row r="29" spans="2:8" ht="15" customHeight="1">
      <c r="B29" s="26" t="s">
        <v>109</v>
      </c>
      <c r="C29" s="27" t="s">
        <v>110</v>
      </c>
      <c r="D29" s="28" t="s">
        <v>111</v>
      </c>
      <c r="E29" s="29">
        <v>0.5</v>
      </c>
      <c r="F29" s="30" t="s">
        <v>112</v>
      </c>
      <c r="G29" s="31" t="s">
        <v>107</v>
      </c>
      <c r="H29" s="28" t="s">
        <v>113</v>
      </c>
    </row>
    <row r="30" spans="2:8" ht="15" customHeight="1">
      <c r="B30" s="26" t="s">
        <v>114</v>
      </c>
      <c r="C30" s="27" t="s">
        <v>115</v>
      </c>
      <c r="D30" s="28" t="s">
        <v>116</v>
      </c>
      <c r="E30" s="29">
        <v>0.3</v>
      </c>
      <c r="F30" s="30" t="s">
        <v>117</v>
      </c>
      <c r="G30" s="31" t="s">
        <v>107</v>
      </c>
      <c r="H30" s="28"/>
    </row>
    <row r="31" spans="2:8" ht="15" customHeight="1">
      <c r="B31" s="26" t="s">
        <v>118</v>
      </c>
      <c r="C31" s="27" t="s">
        <v>119</v>
      </c>
      <c r="D31" s="28" t="s">
        <v>120</v>
      </c>
      <c r="E31" s="29">
        <v>0.1</v>
      </c>
      <c r="F31" s="30" t="s">
        <v>121</v>
      </c>
      <c r="G31" s="31" t="s">
        <v>107</v>
      </c>
      <c r="H31" s="32" t="s">
        <v>122</v>
      </c>
    </row>
    <row r="32" spans="2:8" ht="15" customHeight="1">
      <c r="B32" s="33" t="s">
        <v>123</v>
      </c>
      <c r="C32" s="34" t="s">
        <v>124</v>
      </c>
      <c r="D32" s="35" t="s">
        <v>125</v>
      </c>
      <c r="E32" s="36">
        <v>0.8</v>
      </c>
      <c r="F32" s="37" t="s">
        <v>126</v>
      </c>
      <c r="G32" s="38" t="s">
        <v>127</v>
      </c>
      <c r="H32" s="35"/>
    </row>
    <row r="33" spans="2:8" ht="15" customHeight="1">
      <c r="B33" s="33" t="s">
        <v>128</v>
      </c>
      <c r="C33" s="34" t="s">
        <v>129</v>
      </c>
      <c r="D33" s="35" t="s">
        <v>130</v>
      </c>
      <c r="E33" s="36">
        <v>0.3</v>
      </c>
      <c r="F33" s="37" t="s">
        <v>131</v>
      </c>
      <c r="G33" s="38" t="s">
        <v>127</v>
      </c>
      <c r="H33" s="35"/>
    </row>
    <row r="34" spans="2:8" ht="29.85" customHeight="1">
      <c r="B34" s="33" t="s">
        <v>132</v>
      </c>
      <c r="C34" s="34" t="s">
        <v>133</v>
      </c>
      <c r="D34" s="35" t="s">
        <v>134</v>
      </c>
      <c r="E34" s="36">
        <v>0.2</v>
      </c>
      <c r="F34" s="37" t="s">
        <v>135</v>
      </c>
      <c r="G34" s="38" t="s">
        <v>127</v>
      </c>
      <c r="H34" s="35" t="s">
        <v>136</v>
      </c>
    </row>
    <row r="35" spans="2:8" ht="15" customHeight="1">
      <c r="B35" s="33" t="s">
        <v>137</v>
      </c>
      <c r="C35" s="34" t="s">
        <v>138</v>
      </c>
      <c r="D35" s="35" t="s">
        <v>139</v>
      </c>
      <c r="E35" s="36">
        <v>0.1</v>
      </c>
      <c r="F35" s="38" t="s">
        <v>140</v>
      </c>
      <c r="G35" s="38" t="s">
        <v>127</v>
      </c>
      <c r="H35" s="39" t="s">
        <v>141</v>
      </c>
    </row>
    <row r="36" spans="2:8" ht="15" customHeight="1">
      <c r="B36" s="33" t="s">
        <v>142</v>
      </c>
      <c r="C36" s="34" t="s">
        <v>143</v>
      </c>
      <c r="D36" s="35" t="s">
        <v>144</v>
      </c>
      <c r="E36" s="36">
        <v>0.1</v>
      </c>
      <c r="F36" s="37" t="s">
        <v>145</v>
      </c>
      <c r="G36" s="38" t="s">
        <v>127</v>
      </c>
      <c r="H36" s="39" t="s">
        <v>146</v>
      </c>
    </row>
    <row r="37" spans="2:8" ht="15" customHeight="1">
      <c r="B37" s="10" t="s">
        <v>147</v>
      </c>
      <c r="C37" s="6" t="s">
        <v>148</v>
      </c>
      <c r="D37" s="7" t="s">
        <v>32</v>
      </c>
      <c r="E37" s="8">
        <v>14.55</v>
      </c>
      <c r="F37" s="9" t="s">
        <v>149</v>
      </c>
      <c r="G37" s="10" t="s">
        <v>150</v>
      </c>
      <c r="H37" s="40" t="s">
        <v>151</v>
      </c>
    </row>
    <row r="38" spans="2:8" ht="17.100000000000001" customHeight="1">
      <c r="B38" s="41"/>
      <c r="C38" s="42" t="s">
        <v>152</v>
      </c>
      <c r="D38" s="41"/>
      <c r="E38" s="43">
        <f>SUM(E13:E37)</f>
        <v>99.999999999999972</v>
      </c>
      <c r="F38" s="41"/>
      <c r="G38" s="41"/>
      <c r="H38" s="44" t="s">
        <v>153</v>
      </c>
    </row>
    <row r="40" spans="2:8" ht="15" customHeight="1">
      <c r="B40" s="103" t="s">
        <v>154</v>
      </c>
      <c r="C40" s="100"/>
      <c r="D40" s="100"/>
      <c r="E40" s="100"/>
      <c r="F40" s="100"/>
      <c r="G40" s="100"/>
      <c r="H40" s="101"/>
    </row>
    <row r="41" spans="2:8" ht="15" customHeight="1">
      <c r="B41" s="4" t="s">
        <v>155</v>
      </c>
      <c r="C41" s="4" t="s">
        <v>156</v>
      </c>
      <c r="D41" s="4" t="s">
        <v>157</v>
      </c>
      <c r="E41" s="4" t="s">
        <v>158</v>
      </c>
      <c r="F41" s="4" t="s">
        <v>159</v>
      </c>
      <c r="G41" s="4" t="s">
        <v>160</v>
      </c>
      <c r="H41" s="4" t="s">
        <v>29</v>
      </c>
    </row>
    <row r="42" spans="2:8" ht="15" customHeight="1">
      <c r="B42" s="45" t="s">
        <v>161</v>
      </c>
      <c r="C42" s="46" t="s">
        <v>50</v>
      </c>
      <c r="D42" s="31" t="s">
        <v>162</v>
      </c>
      <c r="E42" s="47" t="s">
        <v>163</v>
      </c>
      <c r="F42" s="48" t="s">
        <v>164</v>
      </c>
      <c r="G42" s="48" t="s">
        <v>165</v>
      </c>
      <c r="H42" s="28" t="s">
        <v>166</v>
      </c>
    </row>
    <row r="43" spans="2:8" ht="23.85" customHeight="1">
      <c r="B43" s="49" t="s">
        <v>161</v>
      </c>
      <c r="C43" s="2" t="s">
        <v>167</v>
      </c>
      <c r="D43" s="50" t="s">
        <v>168</v>
      </c>
      <c r="E43" s="51" t="s">
        <v>169</v>
      </c>
      <c r="F43" s="52" t="s">
        <v>165</v>
      </c>
      <c r="G43" s="52" t="s">
        <v>165</v>
      </c>
      <c r="H43" s="53" t="s">
        <v>170</v>
      </c>
    </row>
    <row r="44" spans="2:8" ht="15" customHeight="1">
      <c r="B44" s="45" t="s">
        <v>161</v>
      </c>
      <c r="C44" s="46" t="s">
        <v>171</v>
      </c>
      <c r="D44" s="31" t="s">
        <v>172</v>
      </c>
      <c r="E44" s="47" t="s">
        <v>169</v>
      </c>
      <c r="F44" s="48" t="s">
        <v>165</v>
      </c>
      <c r="G44" s="48" t="s">
        <v>165</v>
      </c>
      <c r="H44" s="28" t="s">
        <v>173</v>
      </c>
    </row>
    <row r="45" spans="2:8" ht="15" customHeight="1">
      <c r="B45" s="49" t="s">
        <v>161</v>
      </c>
      <c r="C45" s="2" t="s">
        <v>66</v>
      </c>
      <c r="D45" s="50" t="s">
        <v>162</v>
      </c>
      <c r="E45" s="51" t="s">
        <v>174</v>
      </c>
      <c r="F45" s="52" t="s">
        <v>175</v>
      </c>
      <c r="G45" s="52" t="s">
        <v>175</v>
      </c>
      <c r="H45" s="53" t="s">
        <v>170</v>
      </c>
    </row>
    <row r="46" spans="2:8" ht="15" customHeight="1">
      <c r="B46" s="54" t="s">
        <v>176</v>
      </c>
      <c r="C46" s="55" t="s">
        <v>70</v>
      </c>
      <c r="D46" s="24" t="s">
        <v>177</v>
      </c>
      <c r="E46" s="56" t="s">
        <v>178</v>
      </c>
      <c r="F46" s="57" t="s">
        <v>179</v>
      </c>
      <c r="G46" s="57" t="s">
        <v>179</v>
      </c>
      <c r="H46" s="25" t="s">
        <v>180</v>
      </c>
    </row>
    <row r="47" spans="2:8" ht="15" customHeight="1">
      <c r="B47" s="49" t="s">
        <v>176</v>
      </c>
      <c r="C47" s="2" t="s">
        <v>75</v>
      </c>
      <c r="D47" s="50" t="s">
        <v>181</v>
      </c>
      <c r="E47" s="51" t="s">
        <v>178</v>
      </c>
      <c r="F47" s="52" t="s">
        <v>179</v>
      </c>
      <c r="G47" s="52" t="s">
        <v>179</v>
      </c>
      <c r="H47" s="53" t="s">
        <v>180</v>
      </c>
    </row>
    <row r="48" spans="2:8" ht="15" customHeight="1">
      <c r="B48" s="105" t="s">
        <v>182</v>
      </c>
      <c r="C48" s="100"/>
      <c r="D48" s="100"/>
      <c r="E48" s="100"/>
      <c r="F48" s="100"/>
      <c r="G48" s="100"/>
      <c r="H48" s="100"/>
    </row>
  </sheetData>
  <mergeCells count="15">
    <mergeCell ref="B2:H2"/>
    <mergeCell ref="B48:H48"/>
    <mergeCell ref="F9:H9"/>
    <mergeCell ref="C9:D9"/>
    <mergeCell ref="B11:H11"/>
    <mergeCell ref="B3:H3"/>
    <mergeCell ref="C8:D8"/>
    <mergeCell ref="F6:H6"/>
    <mergeCell ref="C7:D7"/>
    <mergeCell ref="C6:D6"/>
    <mergeCell ref="F5:H5"/>
    <mergeCell ref="B40:H40"/>
    <mergeCell ref="F7:H7"/>
    <mergeCell ref="C5:D5"/>
    <mergeCell ref="F8:H8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2:G16"/>
  <sheetViews>
    <sheetView zoomScaleNormal="100" workbookViewId="0"/>
  </sheetViews>
  <sheetFormatPr defaultColWidth="8.7109375" defaultRowHeight="15"/>
  <cols>
    <col min="1" max="1" width="3" customWidth="1"/>
    <col min="2" max="2" width="6" customWidth="1"/>
    <col min="3" max="3" width="24" customWidth="1"/>
    <col min="4" max="4" width="40" customWidth="1"/>
    <col min="5" max="6" width="14" customWidth="1"/>
    <col min="7" max="7" width="30" customWidth="1"/>
  </cols>
  <sheetData>
    <row r="2" spans="2:7" ht="21.6" customHeight="1">
      <c r="B2" s="107" t="s">
        <v>183</v>
      </c>
      <c r="C2" s="100"/>
      <c r="D2" s="100"/>
      <c r="E2" s="100"/>
      <c r="F2" s="100"/>
      <c r="G2" s="101"/>
    </row>
    <row r="4" spans="2:7" ht="15" customHeight="1">
      <c r="B4" s="3" t="s">
        <v>184</v>
      </c>
      <c r="C4" s="4" t="s">
        <v>185</v>
      </c>
      <c r="D4" s="4" t="s">
        <v>186</v>
      </c>
      <c r="E4" s="4" t="s">
        <v>187</v>
      </c>
      <c r="F4" s="4" t="s">
        <v>188</v>
      </c>
      <c r="G4" s="4" t="s">
        <v>189</v>
      </c>
    </row>
    <row r="5" spans="2:7" ht="29.85" customHeight="1">
      <c r="B5" s="5" t="s">
        <v>190</v>
      </c>
      <c r="C5" s="58" t="s">
        <v>191</v>
      </c>
      <c r="D5" s="59" t="s">
        <v>192</v>
      </c>
      <c r="E5" s="60" t="s">
        <v>193</v>
      </c>
      <c r="F5" s="10" t="s">
        <v>194</v>
      </c>
      <c r="G5" s="61" t="s">
        <v>195</v>
      </c>
    </row>
    <row r="6" spans="2:7" ht="39.6" customHeight="1">
      <c r="B6" s="11" t="s">
        <v>196</v>
      </c>
      <c r="C6" s="62" t="s">
        <v>197</v>
      </c>
      <c r="D6" s="63" t="s">
        <v>198</v>
      </c>
      <c r="E6" s="64" t="s">
        <v>199</v>
      </c>
      <c r="F6" s="15" t="s">
        <v>200</v>
      </c>
      <c r="G6" s="65" t="s">
        <v>201</v>
      </c>
    </row>
    <row r="7" spans="2:7" ht="29.85" customHeight="1">
      <c r="B7" s="19" t="s">
        <v>202</v>
      </c>
      <c r="C7" s="66" t="s">
        <v>203</v>
      </c>
      <c r="D7" s="67" t="s">
        <v>204</v>
      </c>
      <c r="E7" s="56" t="s">
        <v>205</v>
      </c>
      <c r="F7" s="24" t="s">
        <v>194</v>
      </c>
      <c r="G7" s="68" t="s">
        <v>206</v>
      </c>
    </row>
    <row r="8" spans="2:7" ht="29.85" customHeight="1">
      <c r="B8" s="11" t="s">
        <v>207</v>
      </c>
      <c r="C8" s="12" t="s">
        <v>208</v>
      </c>
      <c r="D8" s="63" t="s">
        <v>209</v>
      </c>
      <c r="E8" s="64" t="s">
        <v>205</v>
      </c>
      <c r="F8" s="15" t="s">
        <v>194</v>
      </c>
      <c r="G8" s="65" t="s">
        <v>210</v>
      </c>
    </row>
    <row r="9" spans="2:7" ht="29.85" customHeight="1">
      <c r="B9" s="26" t="s">
        <v>211</v>
      </c>
      <c r="C9" s="69" t="s">
        <v>212</v>
      </c>
      <c r="D9" s="70" t="s">
        <v>213</v>
      </c>
      <c r="E9" s="47" t="s">
        <v>214</v>
      </c>
      <c r="F9" s="31" t="s">
        <v>215</v>
      </c>
      <c r="G9" s="71" t="s">
        <v>216</v>
      </c>
    </row>
    <row r="10" spans="2:7" ht="15" customHeight="1">
      <c r="B10" s="33" t="s">
        <v>217</v>
      </c>
      <c r="C10" s="72" t="s">
        <v>218</v>
      </c>
      <c r="D10" s="73" t="s">
        <v>219</v>
      </c>
      <c r="E10" s="74" t="s">
        <v>220</v>
      </c>
      <c r="F10" s="38" t="s">
        <v>221</v>
      </c>
      <c r="G10" s="75" t="s">
        <v>222</v>
      </c>
    </row>
    <row r="11" spans="2:7" ht="29.85" customHeight="1">
      <c r="B11" s="26" t="s">
        <v>223</v>
      </c>
      <c r="C11" s="76" t="s">
        <v>224</v>
      </c>
      <c r="D11" s="70" t="s">
        <v>225</v>
      </c>
      <c r="E11" s="47" t="s">
        <v>226</v>
      </c>
      <c r="F11" s="31" t="s">
        <v>194</v>
      </c>
      <c r="G11" s="71" t="s">
        <v>227</v>
      </c>
    </row>
    <row r="12" spans="2:7" ht="39.6" customHeight="1">
      <c r="B12" s="33" t="s">
        <v>228</v>
      </c>
      <c r="C12" s="77" t="s">
        <v>229</v>
      </c>
      <c r="D12" s="78" t="s">
        <v>230</v>
      </c>
      <c r="E12" s="74" t="s">
        <v>231</v>
      </c>
      <c r="F12" s="38" t="s">
        <v>215</v>
      </c>
      <c r="G12" s="79" t="s">
        <v>232</v>
      </c>
    </row>
    <row r="13" spans="2:7" ht="15" customHeight="1">
      <c r="B13" s="5" t="s">
        <v>233</v>
      </c>
      <c r="C13" s="80" t="s">
        <v>234</v>
      </c>
      <c r="D13" s="59" t="s">
        <v>235</v>
      </c>
      <c r="E13" s="81" t="s">
        <v>236</v>
      </c>
      <c r="F13" s="10" t="s">
        <v>237</v>
      </c>
      <c r="G13" s="82" t="s">
        <v>238</v>
      </c>
    </row>
    <row r="14" spans="2:7" ht="15" customHeight="1">
      <c r="B14" s="33" t="s">
        <v>239</v>
      </c>
      <c r="C14" s="72" t="s">
        <v>240</v>
      </c>
      <c r="D14" s="73" t="s">
        <v>241</v>
      </c>
      <c r="E14" s="74" t="s">
        <v>242</v>
      </c>
      <c r="F14" s="38" t="s">
        <v>243</v>
      </c>
      <c r="G14" s="75" t="s">
        <v>244</v>
      </c>
    </row>
    <row r="15" spans="2:7" ht="15" customHeight="1">
      <c r="B15" s="19" t="s">
        <v>245</v>
      </c>
      <c r="C15" s="83" t="s">
        <v>246</v>
      </c>
      <c r="D15" s="67" t="s">
        <v>247</v>
      </c>
      <c r="E15" s="84" t="s">
        <v>248</v>
      </c>
      <c r="F15" s="24" t="s">
        <v>147</v>
      </c>
      <c r="G15" s="68" t="s">
        <v>249</v>
      </c>
    </row>
    <row r="16" spans="2:7" ht="15" customHeight="1">
      <c r="B16" s="19" t="s">
        <v>250</v>
      </c>
      <c r="C16" s="83" t="s">
        <v>251</v>
      </c>
      <c r="D16" s="85" t="s">
        <v>252</v>
      </c>
      <c r="E16" s="84" t="s">
        <v>248</v>
      </c>
      <c r="F16" s="24" t="s">
        <v>147</v>
      </c>
      <c r="G16" s="68" t="s">
        <v>253</v>
      </c>
    </row>
  </sheetData>
  <mergeCells count="1">
    <mergeCell ref="B2:G2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7C3F"/>
  </sheetPr>
  <dimension ref="B2:G35"/>
  <sheetViews>
    <sheetView zoomScaleNormal="100" workbookViewId="0"/>
  </sheetViews>
  <sheetFormatPr defaultColWidth="8.7109375" defaultRowHeight="15"/>
  <cols>
    <col min="1" max="1" width="3" customWidth="1"/>
    <col min="2" max="2" width="30" customWidth="1"/>
    <col min="3" max="6" width="14" customWidth="1"/>
    <col min="7" max="7" width="30" customWidth="1"/>
  </cols>
  <sheetData>
    <row r="2" spans="2:7" ht="21.6" customHeight="1">
      <c r="B2" s="108" t="s">
        <v>254</v>
      </c>
      <c r="C2" s="100"/>
      <c r="D2" s="100"/>
      <c r="E2" s="100"/>
      <c r="F2" s="100"/>
      <c r="G2" s="101"/>
    </row>
    <row r="4" spans="2:7" ht="15" customHeight="1">
      <c r="B4" s="103" t="s">
        <v>255</v>
      </c>
      <c r="C4" s="100"/>
      <c r="D4" s="100"/>
      <c r="E4" s="100"/>
      <c r="F4" s="100"/>
      <c r="G4" s="101"/>
    </row>
    <row r="5" spans="2:7" ht="15" customHeight="1">
      <c r="B5" s="4" t="s">
        <v>156</v>
      </c>
      <c r="C5" s="4" t="s">
        <v>158</v>
      </c>
      <c r="D5" s="3" t="s">
        <v>256</v>
      </c>
      <c r="E5" s="3" t="s">
        <v>257</v>
      </c>
      <c r="F5" s="3" t="s">
        <v>258</v>
      </c>
      <c r="G5" s="4" t="s">
        <v>259</v>
      </c>
    </row>
    <row r="6" spans="2:7" ht="15" customHeight="1">
      <c r="B6" s="86" t="s">
        <v>50</v>
      </c>
      <c r="C6" s="51" t="s">
        <v>163</v>
      </c>
      <c r="D6" s="50" t="s">
        <v>164</v>
      </c>
      <c r="E6" s="50" t="s">
        <v>165</v>
      </c>
      <c r="F6" s="50" t="s">
        <v>164</v>
      </c>
      <c r="G6" s="87" t="s">
        <v>260</v>
      </c>
    </row>
    <row r="7" spans="2:7" ht="15" customHeight="1">
      <c r="B7" s="77" t="s">
        <v>58</v>
      </c>
      <c r="C7" s="74" t="s">
        <v>169</v>
      </c>
      <c r="D7" s="38" t="s">
        <v>165</v>
      </c>
      <c r="E7" s="38" t="s">
        <v>165</v>
      </c>
      <c r="F7" s="37" t="s">
        <v>261</v>
      </c>
      <c r="G7" s="88" t="s">
        <v>262</v>
      </c>
    </row>
    <row r="8" spans="2:7" ht="15" customHeight="1">
      <c r="B8" s="86" t="s">
        <v>171</v>
      </c>
      <c r="C8" s="51" t="s">
        <v>169</v>
      </c>
      <c r="D8" s="50" t="s">
        <v>165</v>
      </c>
      <c r="E8" s="50" t="s">
        <v>165</v>
      </c>
      <c r="F8" s="89" t="s">
        <v>261</v>
      </c>
      <c r="G8" s="90" t="s">
        <v>262</v>
      </c>
    </row>
    <row r="9" spans="2:7" ht="15" customHeight="1">
      <c r="B9" s="77" t="s">
        <v>66</v>
      </c>
      <c r="C9" s="74" t="s">
        <v>174</v>
      </c>
      <c r="D9" s="38" t="s">
        <v>175</v>
      </c>
      <c r="E9" s="38" t="s">
        <v>175</v>
      </c>
      <c r="F9" s="37" t="s">
        <v>261</v>
      </c>
      <c r="G9" s="88" t="s">
        <v>262</v>
      </c>
    </row>
    <row r="10" spans="2:7" ht="15" customHeight="1">
      <c r="B10" s="86" t="s">
        <v>70</v>
      </c>
      <c r="C10" s="51" t="s">
        <v>178</v>
      </c>
      <c r="D10" s="50" t="s">
        <v>179</v>
      </c>
      <c r="E10" s="50" t="s">
        <v>179</v>
      </c>
      <c r="F10" s="50" t="s">
        <v>179</v>
      </c>
      <c r="G10" s="87" t="s">
        <v>263</v>
      </c>
    </row>
    <row r="11" spans="2:7" ht="15" customHeight="1">
      <c r="B11" s="77" t="s">
        <v>75</v>
      </c>
      <c r="C11" s="74" t="s">
        <v>178</v>
      </c>
      <c r="D11" s="38" t="s">
        <v>179</v>
      </c>
      <c r="E11" s="38" t="s">
        <v>179</v>
      </c>
      <c r="F11" s="38" t="s">
        <v>179</v>
      </c>
      <c r="G11" s="91" t="s">
        <v>263</v>
      </c>
    </row>
    <row r="12" spans="2:7" ht="15" customHeight="1">
      <c r="B12" s="86" t="s">
        <v>125</v>
      </c>
      <c r="C12" s="51" t="s">
        <v>264</v>
      </c>
      <c r="D12" s="50" t="s">
        <v>265</v>
      </c>
      <c r="E12" s="50" t="s">
        <v>265</v>
      </c>
      <c r="F12" s="50" t="s">
        <v>265</v>
      </c>
      <c r="G12" s="87" t="s">
        <v>266</v>
      </c>
    </row>
    <row r="13" spans="2:7" ht="15" customHeight="1">
      <c r="B13" s="77" t="s">
        <v>105</v>
      </c>
      <c r="C13" s="74" t="s">
        <v>174</v>
      </c>
      <c r="D13" s="37" t="s">
        <v>267</v>
      </c>
      <c r="E13" s="37" t="s">
        <v>267</v>
      </c>
      <c r="F13" s="37" t="s">
        <v>267</v>
      </c>
      <c r="G13" s="91" t="s">
        <v>266</v>
      </c>
    </row>
    <row r="15" spans="2:7" ht="15" customHeight="1">
      <c r="B15" s="112" t="s">
        <v>268</v>
      </c>
      <c r="C15" s="100"/>
      <c r="D15" s="100"/>
      <c r="E15" s="100"/>
      <c r="F15" s="100"/>
      <c r="G15" s="100"/>
    </row>
    <row r="16" spans="2:7" ht="15" customHeight="1">
      <c r="B16" s="110" t="s">
        <v>269</v>
      </c>
      <c r="C16" s="100"/>
      <c r="D16" s="100"/>
      <c r="E16" s="100"/>
      <c r="F16" s="100"/>
      <c r="G16" s="100"/>
    </row>
    <row r="18" spans="2:7" ht="15" customHeight="1">
      <c r="B18" s="103" t="s">
        <v>270</v>
      </c>
      <c r="C18" s="100"/>
      <c r="D18" s="100"/>
      <c r="E18" s="100"/>
      <c r="F18" s="100"/>
      <c r="G18" s="101"/>
    </row>
    <row r="19" spans="2:7" ht="15" customHeight="1">
      <c r="B19" s="4" t="s">
        <v>271</v>
      </c>
      <c r="C19" s="4" t="s">
        <v>272</v>
      </c>
      <c r="D19" s="4" t="s">
        <v>273</v>
      </c>
      <c r="E19" s="4" t="s">
        <v>274</v>
      </c>
      <c r="F19" s="4" t="s">
        <v>259</v>
      </c>
      <c r="G19" s="4" t="s">
        <v>29</v>
      </c>
    </row>
    <row r="20" spans="2:7" ht="15" customHeight="1">
      <c r="B20" s="92" t="s">
        <v>275</v>
      </c>
      <c r="C20" s="51" t="s">
        <v>276</v>
      </c>
      <c r="D20" s="50" t="s">
        <v>277</v>
      </c>
      <c r="E20" s="89" t="s">
        <v>278</v>
      </c>
      <c r="F20" s="52" t="s">
        <v>279</v>
      </c>
      <c r="G20" s="53"/>
    </row>
    <row r="21" spans="2:7" ht="15" customHeight="1">
      <c r="B21" s="77" t="s">
        <v>280</v>
      </c>
      <c r="C21" s="74" t="s">
        <v>281</v>
      </c>
      <c r="D21" s="38" t="s">
        <v>282</v>
      </c>
      <c r="E21" s="38" t="s">
        <v>283</v>
      </c>
      <c r="F21" s="93" t="s">
        <v>279</v>
      </c>
      <c r="G21" s="39" t="s">
        <v>284</v>
      </c>
    </row>
    <row r="22" spans="2:7" ht="23.85" customHeight="1">
      <c r="B22" s="92" t="s">
        <v>285</v>
      </c>
      <c r="C22" s="51" t="s">
        <v>13</v>
      </c>
      <c r="D22" s="50" t="s">
        <v>286</v>
      </c>
      <c r="E22" s="50" t="s">
        <v>287</v>
      </c>
      <c r="F22" s="94" t="s">
        <v>288</v>
      </c>
      <c r="G22" s="53" t="s">
        <v>289</v>
      </c>
    </row>
    <row r="23" spans="2:7" ht="15" customHeight="1">
      <c r="B23" s="72" t="s">
        <v>290</v>
      </c>
      <c r="C23" s="74" t="s">
        <v>291</v>
      </c>
      <c r="D23" s="38" t="s">
        <v>292</v>
      </c>
      <c r="E23" s="37" t="s">
        <v>293</v>
      </c>
      <c r="F23" s="95" t="s">
        <v>288</v>
      </c>
      <c r="G23" s="35"/>
    </row>
    <row r="24" spans="2:7" ht="15" customHeight="1">
      <c r="B24" s="92" t="s">
        <v>294</v>
      </c>
      <c r="C24" s="96" t="s">
        <v>295</v>
      </c>
      <c r="D24" s="50" t="s">
        <v>147</v>
      </c>
      <c r="E24" s="89" t="s">
        <v>296</v>
      </c>
      <c r="F24" s="94" t="s">
        <v>288</v>
      </c>
      <c r="G24" s="53" t="s">
        <v>297</v>
      </c>
    </row>
    <row r="25" spans="2:7" ht="15" customHeight="1">
      <c r="B25" s="72" t="s">
        <v>298</v>
      </c>
      <c r="C25" s="74" t="s">
        <v>299</v>
      </c>
      <c r="D25" s="38" t="s">
        <v>147</v>
      </c>
      <c r="E25" s="38" t="s">
        <v>300</v>
      </c>
      <c r="F25" s="95" t="s">
        <v>288</v>
      </c>
      <c r="G25" s="39" t="s">
        <v>301</v>
      </c>
    </row>
    <row r="26" spans="2:7" ht="23.85" customHeight="1">
      <c r="B26" s="86" t="s">
        <v>302</v>
      </c>
      <c r="C26" s="51" t="s">
        <v>303</v>
      </c>
      <c r="D26" s="50" t="s">
        <v>147</v>
      </c>
      <c r="E26" s="50" t="s">
        <v>304</v>
      </c>
      <c r="F26" s="94" t="s">
        <v>288</v>
      </c>
      <c r="G26" s="97" t="s">
        <v>305</v>
      </c>
    </row>
    <row r="27" spans="2:7" ht="15" customHeight="1">
      <c r="B27" s="77" t="s">
        <v>306</v>
      </c>
      <c r="C27" s="74" t="s">
        <v>307</v>
      </c>
      <c r="D27" s="38" t="s">
        <v>147</v>
      </c>
      <c r="E27" s="38" t="s">
        <v>308</v>
      </c>
      <c r="F27" s="95" t="s">
        <v>288</v>
      </c>
      <c r="G27" s="35" t="s">
        <v>309</v>
      </c>
    </row>
    <row r="28" spans="2:7" ht="26.85" customHeight="1">
      <c r="B28" s="92" t="s">
        <v>310</v>
      </c>
      <c r="C28" s="51" t="s">
        <v>311</v>
      </c>
      <c r="D28" s="50" t="s">
        <v>147</v>
      </c>
      <c r="E28" s="50" t="s">
        <v>312</v>
      </c>
      <c r="F28" s="94" t="s">
        <v>288</v>
      </c>
      <c r="G28" s="97" t="s">
        <v>313</v>
      </c>
    </row>
    <row r="29" spans="2:7" ht="15" customHeight="1">
      <c r="B29" s="72" t="s">
        <v>314</v>
      </c>
      <c r="C29" s="98" t="s">
        <v>315</v>
      </c>
      <c r="D29" s="38" t="s">
        <v>147</v>
      </c>
      <c r="E29" s="38" t="s">
        <v>316</v>
      </c>
      <c r="F29" s="95" t="s">
        <v>288</v>
      </c>
      <c r="G29" s="35" t="s">
        <v>317</v>
      </c>
    </row>
    <row r="30" spans="2:7" ht="26.85" customHeight="1">
      <c r="B30" s="92" t="s">
        <v>318</v>
      </c>
      <c r="C30" s="96" t="s">
        <v>315</v>
      </c>
      <c r="D30" s="50" t="s">
        <v>147</v>
      </c>
      <c r="E30" s="50" t="s">
        <v>319</v>
      </c>
      <c r="F30" s="94" t="s">
        <v>288</v>
      </c>
      <c r="G30" s="97" t="s">
        <v>320</v>
      </c>
    </row>
    <row r="31" spans="2:7" ht="15" customHeight="1">
      <c r="B31" s="72" t="s">
        <v>321</v>
      </c>
      <c r="C31" s="98" t="s">
        <v>322</v>
      </c>
      <c r="D31" s="38" t="s">
        <v>147</v>
      </c>
      <c r="E31" s="37" t="s">
        <v>323</v>
      </c>
      <c r="F31" s="93" t="s">
        <v>279</v>
      </c>
      <c r="G31" s="35" t="s">
        <v>324</v>
      </c>
    </row>
    <row r="32" spans="2:7" ht="15" customHeight="1">
      <c r="B32" s="92" t="s">
        <v>325</v>
      </c>
      <c r="C32" s="96" t="s">
        <v>315</v>
      </c>
      <c r="D32" s="50" t="s">
        <v>147</v>
      </c>
      <c r="E32" s="89" t="s">
        <v>326</v>
      </c>
      <c r="F32" s="52" t="s">
        <v>279</v>
      </c>
      <c r="G32" s="97" t="s">
        <v>324</v>
      </c>
    </row>
    <row r="34" spans="2:7" ht="15" customHeight="1">
      <c r="B34" s="109" t="s">
        <v>327</v>
      </c>
      <c r="C34" s="100"/>
      <c r="D34" s="100"/>
      <c r="E34" s="100"/>
      <c r="F34" s="100"/>
      <c r="G34" s="100"/>
    </row>
    <row r="35" spans="2:7" ht="15" customHeight="1">
      <c r="B35" s="111" t="s">
        <v>328</v>
      </c>
      <c r="C35" s="100"/>
      <c r="D35" s="100"/>
      <c r="E35" s="100"/>
      <c r="F35" s="100"/>
      <c r="G35" s="100"/>
    </row>
  </sheetData>
  <mergeCells count="7">
    <mergeCell ref="B2:G2"/>
    <mergeCell ref="B34:G34"/>
    <mergeCell ref="B16:G16"/>
    <mergeCell ref="B35:G35"/>
    <mergeCell ref="B4:G4"/>
    <mergeCell ref="B18:G18"/>
    <mergeCell ref="B15:G15"/>
  </mergeCells>
  <phoneticPr fontId="28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Prescription</vt:lpstr>
      <vt:lpstr>Process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현일 김</cp:lastModifiedBy>
  <cp:revision>0</cp:revision>
  <dcterms:created xsi:type="dcterms:W3CDTF">2026-02-26T01:03:42Z</dcterms:created>
  <dcterms:modified xsi:type="dcterms:W3CDTF">2026-02-26T01:09:15Z</dcterms:modified>
  <dc:language>en-US</dc:language>
</cp:coreProperties>
</file>